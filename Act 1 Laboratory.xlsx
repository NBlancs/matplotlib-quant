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<sst xmlns="http://schemas.openxmlformats.org/spreadsheetml/2006/main" count="16" uniqueCount="16">
  <si>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</si>
  <si>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</si>
  <si>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</si>
  <si>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</si>
  <si>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</si>
  <si>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</si>
  <si>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</si>
  <si>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</si>
  <si>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</si>
  <si>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</si>
  <si>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Mean</t>
  </si>
  <si>
    <t>Median</t>
  </si>
  <si>
    <t>Mode</t>
  </si>
  <si>
    <t>Range</t>
  </si>
  <si>
    <t>Variance</t>
  </si>
  <si>
    <t>Standard Deviation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</si>
</sst>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1" fillId="0" fontId="2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1" displayName="Glucose_data_of_100_adults" name="Glucose_data_of_100_adults" id="1">
  <tableColumns count="10">
    <tableColumn name="C1" id="1"/>
    <tableColumn name="C2" id="2"/>
    <tableColumn name="C3" id="3"/>
    <tableColumn name="C4" id="4"/>
    <tableColumn name="C5" id="5"/>
    <tableColumn name="C6" id="6"/>
    <tableColumn name="C7" id="7"/>
    <tableColumn name="C8" id="8"/>
    <tableColumn name="C9" id="9"/>
    <tableColumn name="C10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9.5"/>
    <col customWidth="1" min="10" max="10" width="10.5"/>
    <col customWidth="1" min="12" max="12" width="19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95.0</v>
      </c>
      <c r="B2" s="2">
        <v>90.0</v>
      </c>
      <c r="C2" s="2">
        <v>105.0</v>
      </c>
      <c r="D2" s="2">
        <v>108.0</v>
      </c>
      <c r="E2" s="2">
        <v>105.0</v>
      </c>
      <c r="F2" s="2">
        <v>110.0</v>
      </c>
      <c r="G2" s="2">
        <v>128.0</v>
      </c>
      <c r="H2" s="2">
        <v>124.0</v>
      </c>
      <c r="I2" s="2">
        <v>108.0</v>
      </c>
      <c r="J2" s="2">
        <v>100.0</v>
      </c>
      <c r="L2" s="3" t="s">
        <v>10</v>
      </c>
      <c r="M2" s="4">
        <f>AVERAGE(A2:J11)</f>
        <v>111.48</v>
      </c>
    </row>
    <row r="3" ht="22.5" customHeight="1">
      <c r="A3" s="2">
        <v>118.0</v>
      </c>
      <c r="B3" s="2">
        <v>130.0</v>
      </c>
      <c r="C3" s="2">
        <v>120.0</v>
      </c>
      <c r="D3" s="2">
        <v>108.0</v>
      </c>
      <c r="E3" s="2">
        <v>99.0</v>
      </c>
      <c r="F3" s="2">
        <v>97.0</v>
      </c>
      <c r="G3" s="2">
        <v>106.0</v>
      </c>
      <c r="H3" s="2">
        <v>101.0</v>
      </c>
      <c r="I3" s="2">
        <v>130.0</v>
      </c>
      <c r="J3" s="2">
        <v>130.0</v>
      </c>
      <c r="L3" s="3" t="s">
        <v>11</v>
      </c>
      <c r="M3" s="4">
        <f>MEDIAN(A2:J11)</f>
        <v>111</v>
      </c>
    </row>
    <row r="4" ht="22.5" customHeight="1">
      <c r="A4" s="2">
        <v>91.0</v>
      </c>
      <c r="B4" s="2">
        <v>114.0</v>
      </c>
      <c r="C4" s="2">
        <v>124.0</v>
      </c>
      <c r="D4" s="2">
        <v>130.0</v>
      </c>
      <c r="E4" s="2">
        <v>112.0</v>
      </c>
      <c r="F4" s="2">
        <v>100.0</v>
      </c>
      <c r="G4" s="2">
        <v>125.0</v>
      </c>
      <c r="H4" s="2">
        <v>119.0</v>
      </c>
      <c r="I4" s="2">
        <v>126.0</v>
      </c>
      <c r="J4" s="2">
        <v>103.0</v>
      </c>
      <c r="L4" s="3" t="s">
        <v>12</v>
      </c>
      <c r="M4" s="5">
        <f>_xlfn.MODE.SNGL(A2:J11)</f>
        <v>124</v>
      </c>
    </row>
    <row r="5" ht="22.5" customHeight="1">
      <c r="A5" s="2">
        <v>122.0</v>
      </c>
      <c r="B5" s="2">
        <v>128.0</v>
      </c>
      <c r="C5" s="2">
        <v>124.0</v>
      </c>
      <c r="D5" s="2">
        <v>113.0</v>
      </c>
      <c r="E5" s="2">
        <v>124.0</v>
      </c>
      <c r="F5" s="2">
        <v>104.0</v>
      </c>
      <c r="G5" s="2">
        <v>94.0</v>
      </c>
      <c r="H5" s="2">
        <v>124.0</v>
      </c>
      <c r="I5" s="2">
        <v>120.0</v>
      </c>
      <c r="J5" s="2">
        <v>109.0</v>
      </c>
      <c r="L5" s="3" t="s">
        <v>13</v>
      </c>
      <c r="M5" s="4">
        <f>MAX(A2:J11) - MIN(A2:J11)</f>
        <v>40</v>
      </c>
    </row>
    <row r="6" ht="22.5" customHeight="1">
      <c r="A6" s="2">
        <v>126.0</v>
      </c>
      <c r="B6" s="2">
        <v>91.0</v>
      </c>
      <c r="C6" s="2">
        <v>123.0</v>
      </c>
      <c r="D6" s="2">
        <v>115.0</v>
      </c>
      <c r="E6" s="2">
        <v>111.0</v>
      </c>
      <c r="F6" s="2">
        <v>119.0</v>
      </c>
      <c r="G6" s="2">
        <v>97.0</v>
      </c>
      <c r="H6" s="2">
        <v>116.0</v>
      </c>
      <c r="I6" s="2">
        <v>106.0</v>
      </c>
      <c r="J6" s="2">
        <v>94.0</v>
      </c>
      <c r="L6" s="3" t="s">
        <v>14</v>
      </c>
      <c r="M6" s="5">
        <f>ROUND(_xlfn.VAR.S(A2:J11),2)</f>
        <v>144.68</v>
      </c>
    </row>
    <row r="7" ht="22.5" customHeight="1">
      <c r="A7" s="2">
        <v>108.0</v>
      </c>
      <c r="B7" s="2">
        <v>111.0</v>
      </c>
      <c r="C7" s="2">
        <v>104.0</v>
      </c>
      <c r="D7" s="2">
        <v>125.0</v>
      </c>
      <c r="E7" s="2">
        <v>95.0</v>
      </c>
      <c r="F7" s="2">
        <v>116.0</v>
      </c>
      <c r="G7" s="2">
        <v>99.0</v>
      </c>
      <c r="H7" s="2">
        <v>129.0</v>
      </c>
      <c r="I7" s="2">
        <v>123.0</v>
      </c>
      <c r="J7" s="2">
        <v>92.0</v>
      </c>
      <c r="L7" s="3" t="s">
        <v>15</v>
      </c>
      <c r="M7" s="5">
        <f>ROUND(STDEV(A2:J11),2)</f>
        <v>12.03</v>
      </c>
    </row>
    <row r="8" ht="22.5" customHeight="1">
      <c r="A8" s="2">
        <v>126.0</v>
      </c>
      <c r="B8" s="2">
        <v>99.0</v>
      </c>
      <c r="C8" s="2">
        <v>129.0</v>
      </c>
      <c r="D8" s="2">
        <v>94.0</v>
      </c>
      <c r="E8" s="2">
        <v>118.0</v>
      </c>
      <c r="F8" s="2">
        <v>115.0</v>
      </c>
      <c r="G8" s="2">
        <v>111.0</v>
      </c>
      <c r="H8" s="2">
        <v>118.0</v>
      </c>
      <c r="I8" s="2">
        <v>125.0</v>
      </c>
      <c r="J8" s="2">
        <v>102.0</v>
      </c>
    </row>
    <row r="9" ht="22.5" customHeight="1">
      <c r="A9" s="2">
        <v>97.0</v>
      </c>
      <c r="B9" s="2">
        <v>128.0</v>
      </c>
      <c r="C9" s="2">
        <v>94.0</v>
      </c>
      <c r="D9" s="2">
        <v>123.0</v>
      </c>
      <c r="E9" s="2">
        <v>126.0</v>
      </c>
      <c r="F9" s="2">
        <v>106.0</v>
      </c>
      <c r="G9" s="2">
        <v>96.0</v>
      </c>
      <c r="H9" s="2">
        <v>101.0</v>
      </c>
      <c r="I9" s="2">
        <v>124.0</v>
      </c>
      <c r="J9" s="2">
        <v>122.0</v>
      </c>
    </row>
    <row r="10" ht="22.5" customHeight="1">
      <c r="A10" s="2">
        <v>100.0</v>
      </c>
      <c r="B10" s="2">
        <v>119.0</v>
      </c>
      <c r="C10" s="2">
        <v>100.0</v>
      </c>
      <c r="D10" s="2">
        <v>103.0</v>
      </c>
      <c r="E10" s="2">
        <v>110.0</v>
      </c>
      <c r="F10" s="2">
        <v>99.0</v>
      </c>
      <c r="G10" s="2">
        <v>106.0</v>
      </c>
      <c r="H10" s="2">
        <v>119.0</v>
      </c>
      <c r="I10" s="2">
        <v>93.0</v>
      </c>
      <c r="J10" s="2">
        <v>111.0</v>
      </c>
    </row>
    <row r="11" ht="22.5" customHeight="1">
      <c r="A11" s="2">
        <v>109.0</v>
      </c>
      <c r="B11" s="2">
        <v>122.0</v>
      </c>
      <c r="C11" s="2">
        <v>118.0</v>
      </c>
      <c r="D11" s="2">
        <v>124.0</v>
      </c>
      <c r="E11" s="2">
        <v>115.0</v>
      </c>
      <c r="F11" s="2">
        <v>97.0</v>
      </c>
      <c r="G11" s="2">
        <v>110.0</v>
      </c>
      <c r="H11" s="2">
        <v>100.0</v>
      </c>
      <c r="I11" s="2">
        <v>129.0</v>
      </c>
      <c r="J11" s="2">
        <v>92.0</v>
      </c>
    </row>
    <row r="15" ht="30.0" customHeight="1"/>
    <row r="16" ht="30.0" customHeight="1"/>
    <row r="17" ht="30.0" customHeight="1"/>
    <row r="18" ht="30.0" customHeight="1"/>
    <row r="19" ht="30.0" customHeight="1"/>
    <row r="20" ht="45.0" customHeight="1"/>
  </sheetData>
  <dataValidations>
    <dataValidation type="custom" allowBlank="1" showDropDown="1" sqref="A2:J1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